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amond inventory\docs\"/>
    </mc:Choice>
  </mc:AlternateContent>
  <bookViews>
    <workbookView xWindow="0" yWindow="0" windowWidth="28800" windowHeight="12210"/>
  </bookViews>
  <sheets>
    <sheet name="STOCK SHEET" sheetId="1" r:id="rId1"/>
    <sheet name="HOW TO USE" sheetId="2" r:id="rId2"/>
  </sheets>
  <calcPr calcId="162913"/>
</workbook>
</file>

<file path=xl/calcChain.xml><?xml version="1.0" encoding="utf-8"?>
<calcChain xmlns="http://schemas.openxmlformats.org/spreadsheetml/2006/main">
  <c r="M24" i="1" l="1"/>
  <c r="L24" i="1"/>
  <c r="K24" i="1"/>
  <c r="J24" i="1"/>
  <c r="I24" i="1"/>
  <c r="H24" i="1"/>
  <c r="G24" i="1"/>
  <c r="F24" i="1"/>
  <c r="E24" i="1"/>
  <c r="D24" i="1"/>
  <c r="C24" i="1"/>
  <c r="B24" i="1"/>
  <c r="B26" i="1" s="1"/>
  <c r="C26" i="1" s="1"/>
</calcChain>
</file>

<file path=xl/sharedStrings.xml><?xml version="1.0" encoding="utf-8"?>
<sst xmlns="http://schemas.openxmlformats.org/spreadsheetml/2006/main" count="62" uniqueCount="51">
  <si>
    <t>STOCK SHEET</t>
  </si>
  <si>
    <t>DATE: DD-MM-YYYY</t>
  </si>
  <si>
    <t>GRADE</t>
  </si>
  <si>
    <t>6.5-</t>
  </si>
  <si>
    <t>RATE</t>
  </si>
  <si>
    <t>6.5+</t>
  </si>
  <si>
    <t>11+</t>
  </si>
  <si>
    <t>1/6</t>
  </si>
  <si>
    <t>1/5</t>
  </si>
  <si>
    <t>1/4</t>
  </si>
  <si>
    <t>1 MB</t>
  </si>
  <si>
    <t>1 BB</t>
  </si>
  <si>
    <t>FL</t>
  </si>
  <si>
    <t>#</t>
  </si>
  <si>
    <t>EXTRA</t>
  </si>
  <si>
    <t>2</t>
  </si>
  <si>
    <t>DX1</t>
  </si>
  <si>
    <t>3</t>
  </si>
  <si>
    <t>4</t>
  </si>
  <si>
    <t>5</t>
  </si>
  <si>
    <t>6</t>
  </si>
  <si>
    <t>7</t>
  </si>
  <si>
    <t>TOP co</t>
  </si>
  <si>
    <t>color</t>
  </si>
  <si>
    <t>OW</t>
  </si>
  <si>
    <t>LC 1</t>
  </si>
  <si>
    <t>LC 2</t>
  </si>
  <si>
    <t>GH</t>
  </si>
  <si>
    <t>LB 1</t>
  </si>
  <si>
    <t>LB 2</t>
  </si>
  <si>
    <t>TOTAL</t>
  </si>
  <si>
    <t>Stock Sheet v1 - how to fill this in</t>
  </si>
  <si>
    <t>1</t>
  </si>
  <si>
    <t>Type carats in the size columns and rupees per carat in the RATE columns.</t>
  </si>
  <si>
    <t>Leave 0.00 where a bucket holds nothing. Never leave a carat cell blank.</t>
  </si>
  <si>
    <t>Do not add, remove or reorder columns. Do not insert a column between a size and</t>
  </si>
  <si>
    <t>its RATE, and do not put a serial number, a remark or a row total anywhere.</t>
  </si>
  <si>
    <t>Add grade rows if you need them, ABOVE the subtotal row, and put a name in</t>
  </si>
  <si>
    <t>column A on every one. A row with carats and no name imports under</t>
  </si>
  <si>
    <t>"Unknown Grade" and somebody has to sort it out afterwards.</t>
  </si>
  <si>
    <t>Put the date on row 2 as DD-MM-YYYY.</t>
  </si>
  <si>
    <t>The grey subtotal row and the TOTAL row calculate themselves. Do not type over</t>
  </si>
  <si>
    <t>them, and do not delete the empty cell in column A of the subtotal row.</t>
  </si>
  <si>
    <t>Sending it</t>
  </si>
  <si>
    <t>File &gt; Save as &gt; PDF. Never scan or photograph a printout: a scan holds a</t>
  </si>
  <si>
    <t>picture, not text, and no import can read it.</t>
  </si>
  <si>
    <t>8</t>
  </si>
  <si>
    <t>Check it is one page. If the columns spill over, reduce the font - do not let it</t>
  </si>
  <si>
    <t>run onto a second page.</t>
  </si>
  <si>
    <t>If a sheet is refused, the message names the figure the sheet prints and the figure the</t>
  </si>
  <si>
    <t>system read. That difference is almost always the fastest way to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</si>
</sst>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3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A33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/>
    <xf numFmtId="2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M1"/>
    </sheetView>
  </sheetViews>
  <sheetFormatPr defaultRowHeight="15"/>
  <cols>
    <col min="1" max="1" width="14" customWidth="1"/>
    <col min="2" max="2" width="9" customWidth="1"/>
    <col min="3" max="3" width="11" customWidth="1"/>
    <col min="4" max="4" width="9" customWidth="1"/>
    <col min="5" max="5" width="11" customWidth="1"/>
    <col min="6" max="6" width="9" customWidth="1"/>
    <col min="7" max="7" width="11" customWidth="1"/>
    <col min="8" max="8" width="9" customWidth="1"/>
    <col min="9" max="9" width="11" customWidth="1"/>
    <col min="10" max="10" width="9" customWidth="1"/>
    <col min="11" max="11" width="11" customWidth="1"/>
    <col min="12" max="12" width="9" customWidth="1"/>
    <col min="13" max="13" width="11" customWidth="1"/>
  </cols>
  <sheetData>
    <row r="1" spans="1:13" ht="17.2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4</v>
      </c>
      <c r="F3" s="1" t="s">
        <v>6</v>
      </c>
      <c r="G3" s="1" t="s">
        <v>4</v>
      </c>
      <c r="H3" s="1" t="s">
        <v>7</v>
      </c>
      <c r="I3" s="1" t="s">
        <v>4</v>
      </c>
      <c r="J3" s="1" t="s">
        <v>8</v>
      </c>
      <c r="K3" s="1" t="s">
        <v>4</v>
      </c>
      <c r="L3" s="1" t="s">
        <v>9</v>
      </c>
      <c r="M3" s="1" t="s">
        <v>4</v>
      </c>
    </row>
    <row r="4" spans="1:13">
      <c r="A4" s="2" t="s">
        <v>10</v>
      </c>
      <c r="B4" s="3">
        <v>0</v>
      </c>
      <c r="C4" s="4">
        <v>0</v>
      </c>
      <c r="D4" s="3">
        <v>0</v>
      </c>
      <c r="E4" s="4">
        <v>0</v>
      </c>
      <c r="F4" s="3">
        <v>0</v>
      </c>
      <c r="G4" s="4">
        <v>0</v>
      </c>
      <c r="H4" s="3">
        <v>0</v>
      </c>
      <c r="I4" s="4">
        <v>0</v>
      </c>
      <c r="J4" s="3">
        <v>0</v>
      </c>
      <c r="K4" s="4">
        <v>0</v>
      </c>
      <c r="L4" s="3">
        <v>0</v>
      </c>
      <c r="M4" s="4">
        <v>0</v>
      </c>
    </row>
    <row r="5" spans="1:13">
      <c r="A5" s="2" t="s">
        <v>11</v>
      </c>
      <c r="B5" s="3">
        <v>0</v>
      </c>
      <c r="C5" s="4">
        <v>0</v>
      </c>
      <c r="D5" s="3">
        <v>0</v>
      </c>
      <c r="E5" s="4">
        <v>0</v>
      </c>
      <c r="F5" s="3">
        <v>0</v>
      </c>
      <c r="G5" s="4">
        <v>0</v>
      </c>
      <c r="H5" s="3">
        <v>0</v>
      </c>
      <c r="I5" s="4">
        <v>0</v>
      </c>
      <c r="J5" s="3">
        <v>0</v>
      </c>
      <c r="K5" s="4">
        <v>0</v>
      </c>
      <c r="L5" s="3">
        <v>0</v>
      </c>
      <c r="M5" s="4">
        <v>0</v>
      </c>
    </row>
    <row r="6" spans="1:13">
      <c r="A6" s="2" t="s">
        <v>12</v>
      </c>
      <c r="B6" s="3">
        <v>0</v>
      </c>
      <c r="C6" s="4">
        <v>0</v>
      </c>
      <c r="D6" s="3">
        <v>0</v>
      </c>
      <c r="E6" s="4">
        <v>0</v>
      </c>
      <c r="F6" s="3">
        <v>0</v>
      </c>
      <c r="G6" s="4">
        <v>0</v>
      </c>
      <c r="H6" s="3">
        <v>0</v>
      </c>
      <c r="I6" s="4">
        <v>0</v>
      </c>
      <c r="J6" s="3">
        <v>0</v>
      </c>
      <c r="K6" s="4">
        <v>0</v>
      </c>
      <c r="L6" s="3">
        <v>0</v>
      </c>
      <c r="M6" s="4">
        <v>0</v>
      </c>
    </row>
    <row r="7" spans="1:13">
      <c r="A7" s="2" t="s">
        <v>13</v>
      </c>
      <c r="B7" s="3">
        <v>0</v>
      </c>
      <c r="C7" s="4">
        <v>0</v>
      </c>
      <c r="D7" s="3">
        <v>0</v>
      </c>
      <c r="E7" s="4">
        <v>0</v>
      </c>
      <c r="F7" s="3">
        <v>0</v>
      </c>
      <c r="G7" s="4">
        <v>0</v>
      </c>
      <c r="H7" s="3">
        <v>0</v>
      </c>
      <c r="I7" s="4">
        <v>0</v>
      </c>
      <c r="J7" s="3">
        <v>0</v>
      </c>
      <c r="K7" s="4">
        <v>0</v>
      </c>
      <c r="L7" s="3">
        <v>0</v>
      </c>
      <c r="M7" s="4">
        <v>0</v>
      </c>
    </row>
    <row r="8" spans="1:13">
      <c r="A8" s="2" t="s">
        <v>14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</row>
    <row r="9" spans="1:13">
      <c r="A9" s="2" t="s">
        <v>15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</row>
    <row r="10" spans="1:13">
      <c r="A10" s="2" t="s">
        <v>16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</row>
    <row r="11" spans="1:13">
      <c r="A11" s="2" t="s">
        <v>17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</row>
    <row r="12" spans="1:13">
      <c r="A12" s="2" t="s">
        <v>18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</row>
    <row r="13" spans="1:13">
      <c r="A13" s="2" t="s">
        <v>19</v>
      </c>
      <c r="B13" s="3">
        <v>0</v>
      </c>
      <c r="C13" s="4">
        <v>0</v>
      </c>
      <c r="D13" s="3">
        <v>0</v>
      </c>
      <c r="E13" s="4">
        <v>0</v>
      </c>
      <c r="F13" s="3">
        <v>0</v>
      </c>
      <c r="G13" s="4">
        <v>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</row>
    <row r="14" spans="1:13">
      <c r="A14" s="2" t="s">
        <v>20</v>
      </c>
      <c r="B14" s="3">
        <v>0</v>
      </c>
      <c r="C14" s="4">
        <v>0</v>
      </c>
      <c r="D14" s="3">
        <v>0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</row>
    <row r="15" spans="1:13">
      <c r="A15" s="2" t="s">
        <v>21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</row>
    <row r="16" spans="1:13">
      <c r="A16" s="2" t="s">
        <v>22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</row>
    <row r="17" spans="1:13">
      <c r="A17" s="2" t="s">
        <v>23</v>
      </c>
      <c r="B17" s="3">
        <v>0</v>
      </c>
      <c r="C17" s="4">
        <v>0</v>
      </c>
      <c r="D17" s="3">
        <v>0</v>
      </c>
      <c r="E17" s="4">
        <v>0</v>
      </c>
      <c r="F17" s="3">
        <v>0</v>
      </c>
      <c r="G17" s="4">
        <v>0</v>
      </c>
      <c r="H17" s="3">
        <v>0</v>
      </c>
      <c r="I17" s="4">
        <v>0</v>
      </c>
      <c r="J17" s="3">
        <v>0</v>
      </c>
      <c r="K17" s="4">
        <v>0</v>
      </c>
      <c r="L17" s="3">
        <v>0</v>
      </c>
      <c r="M17" s="4">
        <v>0</v>
      </c>
    </row>
    <row r="18" spans="1:13">
      <c r="A18" s="2" t="s">
        <v>24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</row>
    <row r="19" spans="1:13">
      <c r="A19" s="2" t="s">
        <v>25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</row>
    <row r="20" spans="1:13">
      <c r="A20" s="2" t="s">
        <v>26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</row>
    <row r="21" spans="1:13">
      <c r="A21" s="2" t="s">
        <v>27</v>
      </c>
      <c r="B21" s="3">
        <v>0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</row>
    <row r="22" spans="1:13">
      <c r="A22" s="2" t="s">
        <v>28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</row>
    <row r="23" spans="1:13">
      <c r="A23" s="2" t="s">
        <v>29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</row>
    <row r="24" spans="1:13">
      <c r="A24" s="5"/>
      <c r="B24" s="6">
        <f>SUM(B4:B23)</f>
        <v>0</v>
      </c>
      <c r="C24" s="7" t="e">
        <f>IF(SUM(B4:B23)=0,ROUND(AVERAGEIF(C4:C23,"&gt;0"),0),ROUND(SUMPRODUCT(B4:B23,C4:C23)/SUM(B4:B23),0))</f>
        <v>#DIV/0!</v>
      </c>
      <c r="D24" s="6">
        <f>SUM(D4:D23)</f>
        <v>0</v>
      </c>
      <c r="E24" s="7" t="e">
        <f>IF(SUM(D4:D23)=0,ROUND(AVERAGEIF(E4:E23,"&gt;0"),0),ROUND(SUMPRODUCT(D4:D23,E4:E23)/SUM(D4:D23),0))</f>
        <v>#DIV/0!</v>
      </c>
      <c r="F24" s="6">
        <f>SUM(F4:F23)</f>
        <v>0</v>
      </c>
      <c r="G24" s="7" t="e">
        <f>IF(SUM(F4:F23)=0,ROUND(AVERAGEIF(G4:G23,"&gt;0"),0),ROUND(SUMPRODUCT(F4:F23,G4:G23)/SUM(F4:F23),0))</f>
        <v>#DIV/0!</v>
      </c>
      <c r="H24" s="6">
        <f>SUM(H4:H23)</f>
        <v>0</v>
      </c>
      <c r="I24" s="7" t="e">
        <f>IF(SUM(H4:H23)=0,ROUND(AVERAGEIF(I4:I23,"&gt;0"),0),ROUND(SUMPRODUCT(H4:H23,I4:I23)/SUM(H4:H23),0))</f>
        <v>#DIV/0!</v>
      </c>
      <c r="J24" s="6">
        <f>SUM(J4:J23)</f>
        <v>0</v>
      </c>
      <c r="K24" s="7" t="e">
        <f>IF(SUM(J4:J23)=0,ROUND(AVERAGEIF(K4:K23,"&gt;0"),0),ROUND(SUMPRODUCT(J4:J23,K4:K23)/SUM(J4:J23),0))</f>
        <v>#DIV/0!</v>
      </c>
      <c r="L24" s="6">
        <f>SUM(L4:L23)</f>
        <v>0</v>
      </c>
      <c r="M24" s="7" t="e">
        <f>IF(SUM(L4:L23)=0,ROUND(AVERAGEIF(M4:M23,"&gt;0"),0),ROUND(SUMPRODUCT(L4:L23,M4:M23)/SUM(L4:L23),0))</f>
        <v>#DIV/0!</v>
      </c>
    </row>
    <row r="26" spans="1:13">
      <c r="A26" s="8" t="s">
        <v>30</v>
      </c>
      <c r="B26" s="9">
        <f>SUM(B24,D24,F24,H24,J24,L24)</f>
        <v>0</v>
      </c>
      <c r="C26" s="10">
        <f>IF(B26=0,0,ROUND((B24*C24+D24*E24+F24*G24+H24*I24+J24*K24+L24*M24)/B26,0))</f>
        <v>0</v>
      </c>
    </row>
  </sheetData>
  <mergeCells count="2">
    <mergeCell ref="A2:M2"/>
    <mergeCell ref="A1:M1"/>
  </mergeCells>
  <dataValidations count="1">
    <dataValidation type="whole" operator="greaterThanOrEqual" errorTitle="Whole rupees only" error="Rates are whole rupees per carat: 58000, not 58,000.50." sqref="C4:C23 E4:E23 G4:G23 I4:I23 K4:K23 M4:M23">
      <formula1>0</formula1>
    </dataValidation>
  </dataValidations>
  <printOptions horizontalCentered="1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11" customWidth="1"/>
    <col min="2" max="2" width="95" customWidth="1"/>
  </cols>
  <sheetData>
    <row r="1" spans="1:2" ht="17.25">
      <c r="A1" s="11" t="s">
        <v>31</v>
      </c>
    </row>
    <row r="3" spans="1:2">
      <c r="A3" t="s">
        <v>32</v>
      </c>
      <c r="B3" t="s">
        <v>33</v>
      </c>
    </row>
    <row r="4" spans="1:2">
      <c r="A4" t="s">
        <v>15</v>
      </c>
      <c r="B4" t="s">
        <v>34</v>
      </c>
    </row>
    <row r="5" spans="1:2">
      <c r="A5" t="s">
        <v>17</v>
      </c>
      <c r="B5" t="s">
        <v>35</v>
      </c>
    </row>
    <row r="6" spans="1:2">
      <c r="B6" t="s">
        <v>36</v>
      </c>
    </row>
    <row r="7" spans="1:2">
      <c r="A7" t="s">
        <v>18</v>
      </c>
      <c r="B7" t="s">
        <v>37</v>
      </c>
    </row>
    <row r="8" spans="1:2">
      <c r="B8" t="s">
        <v>38</v>
      </c>
    </row>
    <row r="9" spans="1:2">
      <c r="B9" t="s">
        <v>39</v>
      </c>
    </row>
    <row r="10" spans="1:2">
      <c r="A10" t="s">
        <v>19</v>
      </c>
      <c r="B10" t="s">
        <v>40</v>
      </c>
    </row>
    <row r="11" spans="1:2">
      <c r="A11" t="s">
        <v>20</v>
      </c>
      <c r="B11" t="s">
        <v>41</v>
      </c>
    </row>
    <row r="12" spans="1:2">
      <c r="B12" t="s">
        <v>42</v>
      </c>
    </row>
    <row r="14" spans="1:2">
      <c r="A14" s="12" t="s">
        <v>43</v>
      </c>
    </row>
    <row r="15" spans="1:2">
      <c r="A15" t="s">
        <v>21</v>
      </c>
      <c r="B15" t="s">
        <v>44</v>
      </c>
    </row>
    <row r="16" spans="1:2">
      <c r="B16" t="s">
        <v>45</v>
      </c>
    </row>
    <row r="17" spans="1:2">
      <c r="A17" t="s">
        <v>46</v>
      </c>
      <c r="B17" t="s">
        <v>47</v>
      </c>
    </row>
    <row r="18" spans="1:2">
      <c r="B18" t="s">
        <v>48</v>
      </c>
    </row>
    <row r="20" spans="1:2">
      <c r="A20" t="s">
        <v>49</v>
      </c>
    </row>
    <row r="21" spans="1:2">
      <c r="A2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SHEET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jbc</cp:lastModifiedBy>
  <dcterms:created xsi:type="dcterms:W3CDTF">2026-08-20T09:37:48Z</dcterms:created>
  <dcterms:modified xsi:type="dcterms:W3CDTF">2026-08-20T09:40:31Z</dcterms:modified>
</cp:coreProperties>
</file>